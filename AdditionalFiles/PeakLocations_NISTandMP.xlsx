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wells/ResearchDocuments/Synchrotron_2025.02/Analysis_pyFAI/AdditionalFiles/"/>
    </mc:Choice>
  </mc:AlternateContent>
  <xr:revisionPtr revIDLastSave="0" documentId="13_ncr:1_{34D116E7-8CD9-5F41-A268-73F93C38E37C}" xr6:coauthVersionLast="47" xr6:coauthVersionMax="47" xr10:uidLastSave="{00000000-0000-0000-0000-000000000000}"/>
  <bookViews>
    <workbookView xWindow="140" yWindow="920" windowWidth="29920" windowHeight="17080" xr2:uid="{62D60A0C-3B6A-C54C-998D-A57F9758A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16" i="1"/>
  <c r="C16" i="1" s="1"/>
  <c r="C5" i="1"/>
  <c r="C6" i="1"/>
  <c r="C7" i="1"/>
  <c r="C9" i="1"/>
  <c r="B11" i="1"/>
  <c r="C11" i="1" s="1"/>
  <c r="B10" i="1"/>
  <c r="C10" i="1" s="1"/>
  <c r="B9" i="1"/>
  <c r="B8" i="1"/>
  <c r="C8" i="1" s="1"/>
  <c r="B3" i="1"/>
  <c r="C3" i="1" s="1"/>
  <c r="B5" i="1"/>
  <c r="B6" i="1"/>
  <c r="B7" i="1"/>
  <c r="B4" i="1"/>
  <c r="C4" i="1" s="1"/>
</calcChain>
</file>

<file path=xl/sharedStrings.xml><?xml version="1.0" encoding="utf-8"?>
<sst xmlns="http://schemas.openxmlformats.org/spreadsheetml/2006/main" count="10" uniqueCount="10">
  <si>
    <t>q</t>
  </si>
  <si>
    <t>d [angstroms]</t>
  </si>
  <si>
    <t>q [angstroms^-1]</t>
  </si>
  <si>
    <t>q  [nm^-1]</t>
  </si>
  <si>
    <t>2θ [°]</t>
  </si>
  <si>
    <t>λ [nm]</t>
  </si>
  <si>
    <t>2θ [rad]</t>
  </si>
  <si>
    <t>LaB6 Peak Locations</t>
  </si>
  <si>
    <t>Materials Project</t>
  </si>
  <si>
    <t>NIST 660c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</si>
</sst>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39D-E749-D041-A201-3FAF18C98134}">
  <dimension ref="A1:E24"/>
  <sheetViews>
    <sheetView tabSelected="1" workbookViewId="0">
      <selection activeCell="D15" sqref="D15:E24"/>
    </sheetView>
  </sheetViews>
  <sheetFormatPr baseColWidth="10" defaultRowHeight="16" x14ac:dyDescent="0.2"/>
  <cols>
    <col min="1" max="1" width="11.83203125" bestFit="1" customWidth="1"/>
    <col min="2" max="2" width="14.6640625" bestFit="1" customWidth="1"/>
    <col min="3" max="3" width="11.6640625" bestFit="1" customWidth="1"/>
  </cols>
  <sheetData>
    <row r="1" spans="1:5" ht="24" x14ac:dyDescent="0.3">
      <c r="A1" s="3" t="s">
        <v>7</v>
      </c>
      <c r="B1" s="3"/>
      <c r="C1" s="3"/>
    </row>
    <row r="2" spans="1:5" x14ac:dyDescent="0.2">
      <c r="A2" t="s">
        <v>1</v>
      </c>
      <c r="B2" t="s">
        <v>2</v>
      </c>
      <c r="C2" t="s">
        <v>3</v>
      </c>
      <c r="D2" s="2" t="s">
        <v>8</v>
      </c>
      <c r="E2" s="2"/>
    </row>
    <row r="3" spans="1:5" x14ac:dyDescent="0.2">
      <c r="A3">
        <v>4.1529999999999996</v>
      </c>
      <c r="B3" s="1">
        <f>2*PI()/A3</f>
        <v>1.5129268738693924</v>
      </c>
      <c r="C3" s="1">
        <f>B3*10</f>
        <v>15.129268738693924</v>
      </c>
      <c r="D3" s="2"/>
      <c r="E3" s="2"/>
    </row>
    <row r="4" spans="1:5" x14ac:dyDescent="0.2">
      <c r="A4">
        <v>2.9359999999999999</v>
      </c>
      <c r="B4" s="1">
        <f>2*PI()/A4</f>
        <v>2.1400494915461805</v>
      </c>
      <c r="C4" s="1">
        <f t="shared" ref="C4:C11" si="0">B4*10</f>
        <v>21.400494915461806</v>
      </c>
      <c r="D4" s="2"/>
      <c r="E4" s="2"/>
    </row>
    <row r="5" spans="1:5" x14ac:dyDescent="0.2">
      <c r="A5">
        <v>2.3980000000000001</v>
      </c>
      <c r="B5" s="1">
        <f t="shared" ref="B5:B11" si="1">2*PI()/A5</f>
        <v>2.6201773591240975</v>
      </c>
      <c r="C5" s="1">
        <f t="shared" si="0"/>
        <v>26.201773591240975</v>
      </c>
      <c r="D5" s="2"/>
      <c r="E5" s="2"/>
    </row>
    <row r="6" spans="1:5" x14ac:dyDescent="0.2">
      <c r="A6">
        <v>2.0760000000000001</v>
      </c>
      <c r="B6" s="1">
        <f t="shared" si="1"/>
        <v>3.026582517909242</v>
      </c>
      <c r="C6" s="1">
        <f t="shared" si="0"/>
        <v>30.26582517909242</v>
      </c>
      <c r="D6" s="2"/>
      <c r="E6" s="2"/>
    </row>
    <row r="7" spans="1:5" x14ac:dyDescent="0.2">
      <c r="A7">
        <v>1.857</v>
      </c>
      <c r="B7" s="1">
        <f t="shared" si="1"/>
        <v>3.3835138972426422</v>
      </c>
      <c r="C7" s="1">
        <f t="shared" si="0"/>
        <v>33.835138972426421</v>
      </c>
      <c r="D7" s="2"/>
      <c r="E7" s="2"/>
    </row>
    <row r="8" spans="1:5" x14ac:dyDescent="0.2">
      <c r="A8">
        <v>1.6950000000000001</v>
      </c>
      <c r="B8" s="1">
        <f t="shared" si="1"/>
        <v>3.7068939865366288</v>
      </c>
      <c r="C8" s="1">
        <f t="shared" si="0"/>
        <v>37.068939865366289</v>
      </c>
      <c r="D8" s="2"/>
      <c r="E8" s="2"/>
    </row>
    <row r="9" spans="1:5" x14ac:dyDescent="0.2">
      <c r="A9">
        <v>1.468</v>
      </c>
      <c r="B9" s="1">
        <f t="shared" si="1"/>
        <v>4.280098983092361</v>
      </c>
      <c r="C9" s="1">
        <f t="shared" si="0"/>
        <v>42.800989830923612</v>
      </c>
      <c r="D9" s="2"/>
      <c r="E9" s="2"/>
    </row>
    <row r="10" spans="1:5" x14ac:dyDescent="0.2">
      <c r="A10">
        <v>1.3839999999999999</v>
      </c>
      <c r="B10" s="1">
        <f t="shared" si="1"/>
        <v>4.5398737768638631</v>
      </c>
      <c r="C10" s="1">
        <f t="shared" si="0"/>
        <v>45.398737768638632</v>
      </c>
      <c r="D10" s="2"/>
      <c r="E10" s="2"/>
    </row>
    <row r="11" spans="1:5" x14ac:dyDescent="0.2">
      <c r="A11">
        <v>1.3129999999999999</v>
      </c>
      <c r="B11" s="1">
        <f t="shared" si="1"/>
        <v>4.7853658089715054</v>
      </c>
      <c r="C11" s="1">
        <f t="shared" si="0"/>
        <v>47.853658089715054</v>
      </c>
      <c r="D11" s="2"/>
      <c r="E11" s="2"/>
    </row>
    <row r="14" spans="1:5" x14ac:dyDescent="0.2">
      <c r="A14" t="s">
        <v>5</v>
      </c>
      <c r="B14">
        <v>0.15405928999999999</v>
      </c>
    </row>
    <row r="15" spans="1:5" x14ac:dyDescent="0.2">
      <c r="A15" t="s">
        <v>4</v>
      </c>
      <c r="B15" t="s">
        <v>6</v>
      </c>
      <c r="C15" t="s">
        <v>0</v>
      </c>
      <c r="D15" s="2" t="s">
        <v>9</v>
      </c>
      <c r="E15" s="2"/>
    </row>
    <row r="16" spans="1:5" x14ac:dyDescent="0.2">
      <c r="A16">
        <v>21.358000000000001</v>
      </c>
      <c r="B16">
        <f>RADIANS(A16)</f>
        <v>0.37276742164094889</v>
      </c>
      <c r="C16" s="1">
        <f>(4*PI()/$B$14)*SIN(B16/2)</f>
        <v>15.11515215926609</v>
      </c>
      <c r="D16" s="2"/>
      <c r="E16" s="2"/>
    </row>
    <row r="17" spans="1:5" x14ac:dyDescent="0.2">
      <c r="A17">
        <v>30.385000000000002</v>
      </c>
      <c r="B17">
        <f t="shared" ref="B17:B24" si="2">RADIANS(A17)</f>
        <v>0.53031829321847701</v>
      </c>
      <c r="C17" s="1">
        <f t="shared" ref="C17:C24" si="3">(4*PI()/$B$14)*SIN(B17/2)</f>
        <v>21.376049267433135</v>
      </c>
      <c r="D17" s="2"/>
      <c r="E17" s="2"/>
    </row>
    <row r="18" spans="1:5" x14ac:dyDescent="0.2">
      <c r="A18">
        <v>37.442</v>
      </c>
      <c r="B18">
        <f t="shared" si="2"/>
        <v>0.65348617853171687</v>
      </c>
      <c r="C18" s="1">
        <f t="shared" si="3"/>
        <v>26.180206779062743</v>
      </c>
      <c r="D18" s="2"/>
      <c r="E18" s="2"/>
    </row>
    <row r="19" spans="1:5" x14ac:dyDescent="0.2">
      <c r="A19">
        <v>43.506999999999998</v>
      </c>
      <c r="B19">
        <f t="shared" si="2"/>
        <v>0.75934039766517292</v>
      </c>
      <c r="C19" s="1">
        <f t="shared" si="3"/>
        <v>30.230407218690491</v>
      </c>
      <c r="D19" s="2"/>
      <c r="E19" s="2"/>
    </row>
    <row r="20" spans="1:5" x14ac:dyDescent="0.2">
      <c r="A20">
        <v>48.957999999999998</v>
      </c>
      <c r="B20">
        <f t="shared" si="2"/>
        <v>0.85447829519138385</v>
      </c>
      <c r="C20" s="1">
        <f t="shared" si="3"/>
        <v>33.798659690911904</v>
      </c>
      <c r="D20" s="2"/>
      <c r="E20" s="2"/>
    </row>
    <row r="21" spans="1:5" x14ac:dyDescent="0.2">
      <c r="A21">
        <v>53.99</v>
      </c>
      <c r="B21">
        <f t="shared" si="2"/>
        <v>0.94230326315173851</v>
      </c>
      <c r="C21" s="1">
        <f t="shared" si="3"/>
        <v>37.024938615601542</v>
      </c>
      <c r="D21" s="2"/>
      <c r="E21" s="2"/>
    </row>
    <row r="22" spans="1:5" x14ac:dyDescent="0.2">
      <c r="A22">
        <v>63.22</v>
      </c>
      <c r="B22">
        <f t="shared" si="2"/>
        <v>1.1033971531108151</v>
      </c>
      <c r="C22" s="1">
        <f t="shared" si="3"/>
        <v>42.752819625623204</v>
      </c>
      <c r="D22" s="2"/>
      <c r="E22" s="2"/>
    </row>
    <row r="23" spans="1:5" x14ac:dyDescent="0.2">
      <c r="A23">
        <v>67.549000000000007</v>
      </c>
      <c r="B23">
        <f t="shared" si="2"/>
        <v>1.1789524564296499</v>
      </c>
      <c r="C23" s="1">
        <f t="shared" si="3"/>
        <v>45.345974744391178</v>
      </c>
      <c r="D23" s="2"/>
      <c r="E23" s="2"/>
    </row>
    <row r="24" spans="1:5" x14ac:dyDescent="0.2">
      <c r="A24">
        <v>71.747</v>
      </c>
      <c r="B24">
        <f t="shared" si="2"/>
        <v>1.2522213784283716</v>
      </c>
      <c r="C24" s="1">
        <f t="shared" si="3"/>
        <v>47.798893020172052</v>
      </c>
      <c r="D24" s="2"/>
      <c r="E24" s="2"/>
    </row>
  </sheetData>
  <mergeCells count="3">
    <mergeCell ref="A1:C1"/>
    <mergeCell ref="D2:E11"/>
    <mergeCell ref="D15:E2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Wells</dc:creator>
  <cp:lastModifiedBy>Aaron Wells</cp:lastModifiedBy>
  <dcterms:created xsi:type="dcterms:W3CDTF">2025-07-08T23:57:11Z</dcterms:created>
  <dcterms:modified xsi:type="dcterms:W3CDTF">2025-07-10T17:05:03Z</dcterms:modified>
</cp:coreProperties>
</file>